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E300A2ED-44A6-4BA2-8864-8E85FDE9DCA2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H24" i="1"/>
  <c r="H22" i="1"/>
  <c r="H23" i="1"/>
  <c r="H21" i="1"/>
  <c r="H19" i="1"/>
  <c r="H17" i="1"/>
  <c r="H18" i="1"/>
  <c r="H14" i="1"/>
  <c r="H15" i="1"/>
  <c r="H16" i="1"/>
  <c r="H13" i="1"/>
  <c r="H9" i="1"/>
  <c r="H8" i="1"/>
  <c r="H5" i="1"/>
  <c r="H6" i="1"/>
  <c r="H4" i="1"/>
  <c r="C24" i="1"/>
  <c r="C22" i="1"/>
  <c r="C23" i="1"/>
  <c r="C21" i="1"/>
  <c r="C14" i="1"/>
  <c r="C15" i="1"/>
  <c r="C16" i="1"/>
  <c r="C17" i="1"/>
  <c r="C18" i="1"/>
  <c r="C19" i="1"/>
  <c r="C13" i="1"/>
  <c r="C9" i="1"/>
  <c r="C8" i="1"/>
  <c r="C5" i="1"/>
  <c r="C6" i="1"/>
  <c r="C4" i="1"/>
  <c r="C2" i="1"/>
</calcChain>
</file>

<file path=xl/sharedStrings.xml><?xml version="1.0" encoding="utf-8"?>
<sst xmlns="http://schemas.openxmlformats.org/spreadsheetml/2006/main" count="102" uniqueCount="50">
  <si>
    <t>-</t>
  </si>
  <si>
    <t>Falta</t>
  </si>
  <si>
    <t>AV</t>
  </si>
  <si>
    <t>SIM1</t>
  </si>
  <si>
    <t>SIM2</t>
  </si>
  <si>
    <t>MF</t>
  </si>
  <si>
    <t>ALUNO</t>
  </si>
  <si>
    <t>TRAB 6</t>
  </si>
  <si>
    <t>P AV 4</t>
  </si>
  <si>
    <t>202403328534 - CARLOS LUIZ ARAUJO GUIMARÃES DOS SANTOS</t>
  </si>
  <si>
    <t>TRAB 3</t>
  </si>
  <si>
    <t>NÃO</t>
  </si>
  <si>
    <t>App Cloud / GitHub</t>
  </si>
  <si>
    <t>202503630879 - ARTHUR GABRIEL MIRANDA REBOUCAS</t>
  </si>
  <si>
    <t>202505116773 - DAVI DOS SANTOS DE OLIVEIRA</t>
  </si>
  <si>
    <t>202503582734 - ERIC ASSIS DOS SANTOS SILVA</t>
  </si>
  <si>
    <t>202502843798 - ERICK ROCHA LUCIANO NASCIMENTO</t>
  </si>
  <si>
    <t>202402969821 - FELIPE DANTAS RIBEIRO DOS SANTOS</t>
  </si>
  <si>
    <t>202403858291 - FELIPE PINHEIRO DA SILVEIRA</t>
  </si>
  <si>
    <t>202302611397 - FELIPE SACRAMENTO RAMOS</t>
  </si>
  <si>
    <t>201951298322 - JAIR DOS SANTOS DA SILVA JUNIOR</t>
  </si>
  <si>
    <t>202408161638 - JOÃO MARCELO CARDOSO DE OLIVEIRA</t>
  </si>
  <si>
    <t>202503274967 - JOÃO VITOR FERREIRA DA SILVA</t>
  </si>
  <si>
    <t>202502357192 - JOSE RAIMUNDO DA HORA JUNIOR</t>
  </si>
  <si>
    <t>202403573032 - JOSÉ VINÍCIUS GARCIA RODRIGUES</t>
  </si>
  <si>
    <t>202403730553 - LARA HELLEN MARQUES DOS SANTOS OLIVEIRA</t>
  </si>
  <si>
    <t>202408161247 - LEONARDO ALVES MORENO</t>
  </si>
  <si>
    <t>202408371446 - MARIA EDUARDA DIAS ALVES DA SILVA</t>
  </si>
  <si>
    <t>202203033697 - PEDRO EMMANOEL COSTA SACRAMENTO</t>
  </si>
  <si>
    <t>202503547106 - RENATA DA CONCEICAO MACHADO</t>
  </si>
  <si>
    <t>202503356751 - RODRIGO SANTOS ARAÚJO</t>
  </si>
  <si>
    <t>202408485093 - THALES ALEXANDRE SOARES DA SILVA</t>
  </si>
  <si>
    <t>Turma Python Paradigmas - 3001</t>
  </si>
  <si>
    <t>AV 7</t>
  </si>
  <si>
    <t>SSA, 28 de novembro de 2025</t>
  </si>
  <si>
    <t>https://github.com/ArthurPedrada/Projetos-em-Python</t>
  </si>
  <si>
    <t>https://alert.frangro.com.br/ ; https://github.com/imthedavi/FrangoALert</t>
  </si>
  <si>
    <t>https://web-production-f7ba5.up.railway.app/; https://github.com/EricAssisdev/agendaPython</t>
  </si>
  <si>
    <t>https://luffybaiano27.pythonanywhere.com/login?next=%2F; https://github.com/LuffyBaiano27/MyAnimeHub</t>
  </si>
  <si>
    <t>https://sitepython1-production.up.railway.app/; https://github.com/v1t1nhobr/sitepython1</t>
  </si>
  <si>
    <t>https://travoaki.pythonanywhere.com/; https://github.com/JoseViniss/ProjetoTravoAki</t>
  </si>
  <si>
    <r>
      <rPr>
        <b/>
        <sz val="14"/>
        <color rgb="FFFF0000"/>
        <rFont val="Times New Roman"/>
        <family val="1"/>
      </rPr>
      <t xml:space="preserve">App Cloud Render - não Link; </t>
    </r>
    <r>
      <rPr>
        <sz val="14"/>
        <color theme="1"/>
        <rFont val="Times New Roman"/>
        <family val="1"/>
      </rPr>
      <t>https://github.com/FelipeDantasRibeiro/sistema-livros</t>
    </r>
  </si>
  <si>
    <r>
      <rPr>
        <b/>
        <sz val="14"/>
        <color rgb="FFFF0000"/>
        <rFont val="Times New Roman"/>
        <family val="1"/>
      </rPr>
      <t xml:space="preserve">App Cloud - não Link; </t>
    </r>
    <r>
      <rPr>
        <sz val="14"/>
        <color theme="1"/>
        <rFont val="Times New Roman"/>
        <family val="1"/>
      </rPr>
      <t>https://github.com/helleenlara/CookNotes; https://www.canva.com/design/DAG562BDGGE/cl0bmOru2H1BBlC8uIfLxg/edit</t>
    </r>
  </si>
  <si>
    <r>
      <rPr>
        <sz val="14"/>
        <rFont val="Times New Roman"/>
        <family val="1"/>
      </rPr>
      <t>https://django-react-js-system.vercel.app/login;</t>
    </r>
    <r>
      <rPr>
        <sz val="14"/>
        <color theme="1"/>
        <rFont val="Times New Roman"/>
        <family val="1"/>
      </rPr>
      <t xml:space="preserve"> https://github.com/1LeoAlves/DjangoReactJS_System</t>
    </r>
  </si>
  <si>
    <t>https://receitasgourmett.netlify.app/login; https://github.com/machadorenata119-del/Trabalho-de-paradigmas-de-python-</t>
  </si>
  <si>
    <r>
      <rPr>
        <b/>
        <sz val="14"/>
        <color rgb="FFFF0000"/>
        <rFont val="Times New Roman"/>
        <family val="1"/>
      </rPr>
      <t>App Cloud Railway/Render - não Link</t>
    </r>
    <r>
      <rPr>
        <sz val="14"/>
        <color theme="1"/>
        <rFont val="Times New Roman"/>
        <family val="1"/>
      </rPr>
      <t>; https://github.com/ThalesAlexandreSoares/task-manager</t>
    </r>
  </si>
  <si>
    <t>TRAB</t>
  </si>
  <si>
    <t>202403650223 - ERIK MATOS AVS = 2,1</t>
  </si>
  <si>
    <t>202504001174 - RENATO MACHADO DOS SANTOS JUNIOR AVS = 2,1</t>
  </si>
  <si>
    <t>202502388251 - DEUSINETE DE JESUS DUTRA  AVS = 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</si>
</sst>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Aptos Narrow"/>
      <family val="2"/>
      <scheme val="minor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4" xfId="0" applyFont="1" applyBorder="1"/>
    <xf numFmtId="0" fontId="3" fillId="0" borderId="6" xfId="0" applyFont="1" applyBorder="1"/>
    <xf numFmtId="0" fontId="1" fillId="0" borderId="0" xfId="0" applyFont="1" applyAlignment="1">
      <alignment horizontal="right"/>
    </xf>
    <xf numFmtId="0" fontId="2" fillId="3" borderId="0" xfId="0" applyFont="1" applyFill="1"/>
    <xf numFmtId="43" fontId="1" fillId="0" borderId="2" xfId="1" applyFont="1" applyBorder="1"/>
    <xf numFmtId="43" fontId="1" fillId="0" borderId="5" xfId="1" applyFont="1" applyBorder="1"/>
    <xf numFmtId="0" fontId="3" fillId="0" borderId="0" xfId="0" applyFont="1"/>
    <xf numFmtId="0" fontId="2" fillId="0" borderId="0" xfId="0" applyFont="1"/>
    <xf numFmtId="0" fontId="1" fillId="4" borderId="1" xfId="0" applyFont="1" applyFill="1" applyBorder="1"/>
    <xf numFmtId="0" fontId="1" fillId="0" borderId="7" xfId="0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5" borderId="1" xfId="0" applyFont="1" applyFill="1" applyBorder="1"/>
    <xf numFmtId="43" fontId="1" fillId="0" borderId="8" xfId="1" applyFont="1" applyBorder="1"/>
    <xf numFmtId="43" fontId="1" fillId="0" borderId="9" xfId="1" applyFont="1" applyBorder="1"/>
    <xf numFmtId="43" fontId="1" fillId="5" borderId="2" xfId="1" applyFont="1" applyFill="1" applyBorder="1" applyAlignment="1">
      <alignment horizontal="center"/>
    </xf>
    <xf numFmtId="43" fontId="1" fillId="5" borderId="2" xfId="1" applyFont="1" applyFill="1" applyBorder="1"/>
    <xf numFmtId="43" fontId="1" fillId="5" borderId="3" xfId="1" applyFont="1" applyFill="1" applyBorder="1"/>
    <xf numFmtId="43" fontId="1" fillId="5" borderId="3" xfId="1" applyFont="1" applyFill="1" applyBorder="1" applyAlignment="1">
      <alignment horizontal="center"/>
    </xf>
    <xf numFmtId="43" fontId="1" fillId="4" borderId="8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29"/>
  <sheetViews>
    <sheetView tabSelected="1" workbookViewId="0">
      <selection activeCell="D5" sqref="D5"/>
    </sheetView>
  </sheetViews>
  <sheetFormatPr defaultColWidth="8" defaultRowHeight="18.75" x14ac:dyDescent="0.3"/>
  <cols>
    <col min="1" max="1" width="83.85546875" style="2" bestFit="1" customWidth="1"/>
    <col min="2" max="2" width="11.140625" style="2" bestFit="1" customWidth="1"/>
    <col min="3" max="3" width="9.5703125" style="2" bestFit="1" customWidth="1"/>
    <col min="4" max="4" width="7.5703125" style="2" bestFit="1" customWidth="1"/>
    <col min="5" max="5" width="8" style="2" bestFit="1" customWidth="1"/>
    <col min="6" max="6" width="8.85546875" style="2" bestFit="1" customWidth="1"/>
    <col min="7" max="7" width="11" style="2" bestFit="1" customWidth="1"/>
    <col min="8" max="8" width="7.5703125" style="2" bestFit="1" customWidth="1"/>
    <col min="9" max="9" width="24.85546875" style="2" bestFit="1" customWidth="1"/>
    <col min="10" max="16384" width="8" style="2"/>
  </cols>
  <sheetData>
    <row r="1" spans="1:9" ht="19.5" thickBot="1" x14ac:dyDescent="0.35">
      <c r="A1" s="13" t="s">
        <v>6</v>
      </c>
      <c r="B1" s="14" t="s">
        <v>2</v>
      </c>
      <c r="C1" s="14" t="s">
        <v>8</v>
      </c>
      <c r="D1" s="14" t="s">
        <v>3</v>
      </c>
      <c r="E1" s="14" t="s">
        <v>4</v>
      </c>
      <c r="F1" s="14" t="s">
        <v>46</v>
      </c>
      <c r="G1" s="14" t="s">
        <v>7</v>
      </c>
      <c r="H1" s="15" t="s">
        <v>5</v>
      </c>
      <c r="I1" s="10" t="s">
        <v>12</v>
      </c>
    </row>
    <row r="2" spans="1:9" x14ac:dyDescent="0.3">
      <c r="A2" s="12" t="s">
        <v>13</v>
      </c>
      <c r="B2" s="17">
        <v>3.5</v>
      </c>
      <c r="C2" s="17">
        <f>B2/7*4</f>
        <v>2</v>
      </c>
      <c r="D2" s="17">
        <v>0.6</v>
      </c>
      <c r="E2" s="17">
        <v>0.6</v>
      </c>
      <c r="F2" s="17">
        <f>G2</f>
        <v>2.8</v>
      </c>
      <c r="G2" s="17">
        <v>2.8</v>
      </c>
      <c r="H2" s="18">
        <f>C2+G2</f>
        <v>4.8</v>
      </c>
      <c r="I2" s="2" t="s">
        <v>35</v>
      </c>
    </row>
    <row r="3" spans="1:9" x14ac:dyDescent="0.3">
      <c r="A3" s="16" t="s">
        <v>9</v>
      </c>
      <c r="B3" s="19" t="s">
        <v>1</v>
      </c>
      <c r="C3" s="20" t="s">
        <v>0</v>
      </c>
      <c r="D3" s="20" t="s">
        <v>1</v>
      </c>
      <c r="E3" s="20" t="s">
        <v>1</v>
      </c>
      <c r="F3" s="20" t="s">
        <v>1</v>
      </c>
      <c r="G3" s="19" t="s">
        <v>1</v>
      </c>
      <c r="H3" s="21">
        <v>0</v>
      </c>
      <c r="I3" s="9" t="s">
        <v>11</v>
      </c>
    </row>
    <row r="4" spans="1:9" x14ac:dyDescent="0.3">
      <c r="A4" s="1" t="s">
        <v>14</v>
      </c>
      <c r="B4" s="7">
        <v>5.6</v>
      </c>
      <c r="C4" s="17">
        <f>B4/7*4</f>
        <v>3.1999999999999997</v>
      </c>
      <c r="D4" s="7">
        <v>0.8</v>
      </c>
      <c r="E4" s="7">
        <v>1</v>
      </c>
      <c r="F4" s="7">
        <v>3</v>
      </c>
      <c r="G4" s="17">
        <v>6</v>
      </c>
      <c r="H4" s="18">
        <f>C4+G4</f>
        <v>9.1999999999999993</v>
      </c>
      <c r="I4" s="2" t="s">
        <v>36</v>
      </c>
    </row>
    <row r="5" spans="1:9" x14ac:dyDescent="0.3">
      <c r="A5" s="11" t="s">
        <v>49</v>
      </c>
      <c r="B5" s="7">
        <v>4.2</v>
      </c>
      <c r="C5" s="17">
        <f t="shared" ref="C5:C9" si="0">B5/7*4</f>
        <v>2.4</v>
      </c>
      <c r="D5" s="7">
        <v>0.5</v>
      </c>
      <c r="E5" s="7">
        <v>0.8</v>
      </c>
      <c r="F5" s="7" t="s">
        <v>1</v>
      </c>
      <c r="G5" s="23">
        <v>0</v>
      </c>
      <c r="H5" s="18">
        <f t="shared" ref="H5:H9" si="1">C5+G5</f>
        <v>2.4</v>
      </c>
      <c r="I5" s="9" t="s">
        <v>11</v>
      </c>
    </row>
    <row r="6" spans="1:9" x14ac:dyDescent="0.3">
      <c r="A6" s="1" t="s">
        <v>15</v>
      </c>
      <c r="B6" s="7">
        <v>6.3</v>
      </c>
      <c r="C6" s="17">
        <f t="shared" si="0"/>
        <v>3.6</v>
      </c>
      <c r="D6" s="7" t="s">
        <v>1</v>
      </c>
      <c r="E6" s="7">
        <v>1</v>
      </c>
      <c r="F6" s="7">
        <v>3</v>
      </c>
      <c r="G6" s="17">
        <v>6</v>
      </c>
      <c r="H6" s="18">
        <f t="shared" si="1"/>
        <v>9.6</v>
      </c>
      <c r="I6" s="2" t="s">
        <v>37</v>
      </c>
    </row>
    <row r="7" spans="1:9" x14ac:dyDescent="0.3">
      <c r="A7" s="16" t="s">
        <v>16</v>
      </c>
      <c r="B7" s="19" t="s">
        <v>1</v>
      </c>
      <c r="C7" s="20" t="s">
        <v>0</v>
      </c>
      <c r="D7" s="20" t="s">
        <v>1</v>
      </c>
      <c r="E7" s="20" t="s">
        <v>1</v>
      </c>
      <c r="F7" s="20" t="s">
        <v>1</v>
      </c>
      <c r="G7" s="19" t="s">
        <v>1</v>
      </c>
      <c r="H7" s="22">
        <v>0</v>
      </c>
      <c r="I7" s="9" t="s">
        <v>11</v>
      </c>
    </row>
    <row r="8" spans="1:9" x14ac:dyDescent="0.3">
      <c r="A8" s="11" t="s">
        <v>47</v>
      </c>
      <c r="B8" s="7">
        <v>3.5</v>
      </c>
      <c r="C8" s="17">
        <f t="shared" si="0"/>
        <v>2</v>
      </c>
      <c r="D8" s="7">
        <v>0.4</v>
      </c>
      <c r="E8" s="7">
        <v>0.7</v>
      </c>
      <c r="F8" s="7" t="s">
        <v>1</v>
      </c>
      <c r="G8" s="23">
        <v>0</v>
      </c>
      <c r="H8" s="18">
        <f t="shared" si="1"/>
        <v>2</v>
      </c>
      <c r="I8" s="9" t="s">
        <v>11</v>
      </c>
    </row>
    <row r="9" spans="1:9" x14ac:dyDescent="0.3">
      <c r="A9" s="1" t="s">
        <v>17</v>
      </c>
      <c r="B9" s="7">
        <v>6.3</v>
      </c>
      <c r="C9" s="17">
        <f t="shared" si="0"/>
        <v>3.6</v>
      </c>
      <c r="D9" s="7">
        <v>0.6</v>
      </c>
      <c r="E9" s="7" t="s">
        <v>1</v>
      </c>
      <c r="F9" s="7">
        <v>3</v>
      </c>
      <c r="G9" s="17">
        <v>6</v>
      </c>
      <c r="H9" s="18">
        <f t="shared" si="1"/>
        <v>9.6</v>
      </c>
      <c r="I9" s="2" t="s">
        <v>41</v>
      </c>
    </row>
    <row r="10" spans="1:9" x14ac:dyDescent="0.3">
      <c r="A10" s="16" t="s">
        <v>18</v>
      </c>
      <c r="B10" s="19" t="s">
        <v>1</v>
      </c>
      <c r="C10" s="20" t="s">
        <v>0</v>
      </c>
      <c r="D10" s="20" t="s">
        <v>1</v>
      </c>
      <c r="E10" s="20" t="s">
        <v>1</v>
      </c>
      <c r="F10" s="20" t="s">
        <v>1</v>
      </c>
      <c r="G10" s="19" t="s">
        <v>1</v>
      </c>
      <c r="H10" s="22">
        <v>0</v>
      </c>
      <c r="I10" s="9" t="s">
        <v>11</v>
      </c>
    </row>
    <row r="11" spans="1:9" x14ac:dyDescent="0.3">
      <c r="A11" s="16" t="s">
        <v>19</v>
      </c>
      <c r="B11" s="19" t="s">
        <v>1</v>
      </c>
      <c r="C11" s="20" t="s">
        <v>0</v>
      </c>
      <c r="D11" s="20" t="s">
        <v>1</v>
      </c>
      <c r="E11" s="20" t="s">
        <v>1</v>
      </c>
      <c r="F11" s="20" t="s">
        <v>1</v>
      </c>
      <c r="G11" s="19" t="s">
        <v>1</v>
      </c>
      <c r="H11" s="22">
        <v>0</v>
      </c>
      <c r="I11" s="9" t="s">
        <v>11</v>
      </c>
    </row>
    <row r="12" spans="1:9" x14ac:dyDescent="0.3">
      <c r="A12" s="16" t="s">
        <v>20</v>
      </c>
      <c r="B12" s="19" t="s">
        <v>1</v>
      </c>
      <c r="C12" s="20" t="s">
        <v>0</v>
      </c>
      <c r="D12" s="20" t="s">
        <v>1</v>
      </c>
      <c r="E12" s="20" t="s">
        <v>1</v>
      </c>
      <c r="F12" s="20" t="s">
        <v>1</v>
      </c>
      <c r="G12" s="19" t="s">
        <v>1</v>
      </c>
      <c r="H12" s="22">
        <v>0</v>
      </c>
      <c r="I12" s="9" t="s">
        <v>11</v>
      </c>
    </row>
    <row r="13" spans="1:9" x14ac:dyDescent="0.3">
      <c r="A13" s="1" t="s">
        <v>21</v>
      </c>
      <c r="B13" s="7">
        <v>5.6</v>
      </c>
      <c r="C13" s="17">
        <f t="shared" ref="C13:C23" si="2">B13/7*4</f>
        <v>3.1999999999999997</v>
      </c>
      <c r="D13" s="7">
        <v>0.5</v>
      </c>
      <c r="E13" s="7">
        <v>0.9</v>
      </c>
      <c r="F13" s="7">
        <v>3</v>
      </c>
      <c r="G13" s="17">
        <v>6</v>
      </c>
      <c r="H13" s="18">
        <f t="shared" ref="H13:H24" si="3">C13+G13</f>
        <v>9.1999999999999993</v>
      </c>
      <c r="I13" s="2" t="s">
        <v>38</v>
      </c>
    </row>
    <row r="14" spans="1:9" x14ac:dyDescent="0.3">
      <c r="A14" s="1" t="s">
        <v>22</v>
      </c>
      <c r="B14" s="7">
        <v>6.3</v>
      </c>
      <c r="C14" s="17">
        <f t="shared" si="2"/>
        <v>3.6</v>
      </c>
      <c r="D14" s="7">
        <v>0.6</v>
      </c>
      <c r="E14" s="7">
        <v>0.7</v>
      </c>
      <c r="F14" s="7">
        <v>3</v>
      </c>
      <c r="G14" s="17">
        <v>6</v>
      </c>
      <c r="H14" s="18">
        <f t="shared" si="3"/>
        <v>9.6</v>
      </c>
      <c r="I14" s="2" t="s">
        <v>39</v>
      </c>
    </row>
    <row r="15" spans="1:9" x14ac:dyDescent="0.3">
      <c r="A15" s="1" t="s">
        <v>23</v>
      </c>
      <c r="B15" s="7">
        <v>5.6</v>
      </c>
      <c r="C15" s="17">
        <f t="shared" si="2"/>
        <v>3.1999999999999997</v>
      </c>
      <c r="D15" s="7">
        <v>0.5</v>
      </c>
      <c r="E15" s="7">
        <v>0.6</v>
      </c>
      <c r="F15" s="7">
        <v>3</v>
      </c>
      <c r="G15" s="17">
        <v>6</v>
      </c>
      <c r="H15" s="18">
        <f t="shared" si="3"/>
        <v>9.1999999999999993</v>
      </c>
      <c r="I15" s="2" t="s">
        <v>37</v>
      </c>
    </row>
    <row r="16" spans="1:9" x14ac:dyDescent="0.3">
      <c r="A16" s="1" t="s">
        <v>24</v>
      </c>
      <c r="B16" s="7">
        <v>5.6</v>
      </c>
      <c r="C16" s="17">
        <f t="shared" si="2"/>
        <v>3.1999999999999997</v>
      </c>
      <c r="D16" s="7">
        <v>0.7</v>
      </c>
      <c r="E16" s="7" t="s">
        <v>1</v>
      </c>
      <c r="F16" s="7">
        <v>3</v>
      </c>
      <c r="G16" s="17">
        <v>6</v>
      </c>
      <c r="H16" s="18">
        <f t="shared" si="3"/>
        <v>9.1999999999999993</v>
      </c>
      <c r="I16" s="2" t="s">
        <v>40</v>
      </c>
    </row>
    <row r="17" spans="1:9" x14ac:dyDescent="0.3">
      <c r="A17" s="1" t="s">
        <v>25</v>
      </c>
      <c r="B17" s="7">
        <v>4.9000000000000004</v>
      </c>
      <c r="C17" s="17">
        <f t="shared" si="2"/>
        <v>2.8000000000000003</v>
      </c>
      <c r="D17" s="7">
        <v>0.7</v>
      </c>
      <c r="E17" s="7">
        <v>0.8</v>
      </c>
      <c r="F17" s="7">
        <v>3</v>
      </c>
      <c r="G17" s="17">
        <v>6</v>
      </c>
      <c r="H17" s="18">
        <f t="shared" si="3"/>
        <v>8.8000000000000007</v>
      </c>
      <c r="I17" s="2" t="s">
        <v>42</v>
      </c>
    </row>
    <row r="18" spans="1:9" x14ac:dyDescent="0.3">
      <c r="A18" s="1" t="s">
        <v>26</v>
      </c>
      <c r="B18" s="7">
        <v>5.6</v>
      </c>
      <c r="C18" s="17">
        <f t="shared" si="2"/>
        <v>3.1999999999999997</v>
      </c>
      <c r="D18" s="7">
        <v>0.6</v>
      </c>
      <c r="E18" s="7">
        <v>1</v>
      </c>
      <c r="F18" s="7">
        <v>3</v>
      </c>
      <c r="G18" s="17">
        <v>5.5</v>
      </c>
      <c r="H18" s="18">
        <f t="shared" si="3"/>
        <v>8.6999999999999993</v>
      </c>
      <c r="I18" s="2" t="s">
        <v>43</v>
      </c>
    </row>
    <row r="19" spans="1:9" x14ac:dyDescent="0.3">
      <c r="A19" s="1" t="s">
        <v>27</v>
      </c>
      <c r="B19" s="7">
        <v>4.2</v>
      </c>
      <c r="C19" s="17">
        <f t="shared" si="2"/>
        <v>2.4</v>
      </c>
      <c r="D19" s="7">
        <v>0.5</v>
      </c>
      <c r="E19" s="7">
        <v>0.4</v>
      </c>
      <c r="F19" s="7">
        <v>3</v>
      </c>
      <c r="G19" s="17">
        <v>6</v>
      </c>
      <c r="H19" s="18">
        <f t="shared" si="3"/>
        <v>8.4</v>
      </c>
      <c r="I19" s="2" t="s">
        <v>44</v>
      </c>
    </row>
    <row r="20" spans="1:9" x14ac:dyDescent="0.3">
      <c r="A20" s="16" t="s">
        <v>28</v>
      </c>
      <c r="B20" s="19" t="s">
        <v>1</v>
      </c>
      <c r="C20" s="20" t="s">
        <v>0</v>
      </c>
      <c r="D20" s="20" t="s">
        <v>1</v>
      </c>
      <c r="E20" s="20" t="s">
        <v>1</v>
      </c>
      <c r="F20" s="20" t="s">
        <v>1</v>
      </c>
      <c r="G20" s="19" t="s">
        <v>1</v>
      </c>
      <c r="H20" s="22">
        <v>0</v>
      </c>
      <c r="I20" s="9" t="s">
        <v>11</v>
      </c>
    </row>
    <row r="21" spans="1:9" x14ac:dyDescent="0.3">
      <c r="A21" s="1" t="s">
        <v>29</v>
      </c>
      <c r="B21" s="7">
        <v>4.9000000000000004</v>
      </c>
      <c r="C21" s="17">
        <f t="shared" si="2"/>
        <v>2.8000000000000003</v>
      </c>
      <c r="D21" s="7">
        <v>0.4</v>
      </c>
      <c r="E21" s="7">
        <v>0.9</v>
      </c>
      <c r="F21" s="7">
        <v>3</v>
      </c>
      <c r="G21" s="17">
        <v>6</v>
      </c>
      <c r="H21" s="18">
        <f t="shared" si="3"/>
        <v>8.8000000000000007</v>
      </c>
      <c r="I21" s="2" t="s">
        <v>44</v>
      </c>
    </row>
    <row r="22" spans="1:9" x14ac:dyDescent="0.3">
      <c r="A22" s="11" t="s">
        <v>48</v>
      </c>
      <c r="B22" s="7">
        <v>4.9000000000000004</v>
      </c>
      <c r="C22" s="17">
        <f t="shared" si="2"/>
        <v>2.8000000000000003</v>
      </c>
      <c r="D22" s="7">
        <v>0.2</v>
      </c>
      <c r="E22" s="7">
        <v>0.1</v>
      </c>
      <c r="F22" s="7" t="s">
        <v>1</v>
      </c>
      <c r="G22" s="23">
        <v>0</v>
      </c>
      <c r="H22" s="18">
        <f t="shared" si="3"/>
        <v>2.8000000000000003</v>
      </c>
      <c r="I22" s="9" t="s">
        <v>11</v>
      </c>
    </row>
    <row r="23" spans="1:9" x14ac:dyDescent="0.3">
      <c r="A23" s="1" t="s">
        <v>30</v>
      </c>
      <c r="B23" s="7">
        <v>4.9000000000000004</v>
      </c>
      <c r="C23" s="17">
        <f t="shared" si="2"/>
        <v>2.8000000000000003</v>
      </c>
      <c r="D23" s="7">
        <v>0.7</v>
      </c>
      <c r="E23" s="7">
        <v>0.8</v>
      </c>
      <c r="F23" s="7">
        <v>3</v>
      </c>
      <c r="G23" s="17">
        <v>6</v>
      </c>
      <c r="H23" s="18">
        <f t="shared" si="3"/>
        <v>8.8000000000000007</v>
      </c>
      <c r="I23" s="2" t="s">
        <v>39</v>
      </c>
    </row>
    <row r="24" spans="1:9" ht="19.5" thickBot="1" x14ac:dyDescent="0.35">
      <c r="A24" s="3" t="s">
        <v>31</v>
      </c>
      <c r="B24" s="8">
        <v>6.3</v>
      </c>
      <c r="C24" s="8">
        <f>B24/7*4</f>
        <v>3.6</v>
      </c>
      <c r="D24" s="8" t="s">
        <v>1</v>
      </c>
      <c r="E24" s="8">
        <v>0.7</v>
      </c>
      <c r="F24" s="8">
        <v>3</v>
      </c>
      <c r="G24" s="8">
        <v>6</v>
      </c>
      <c r="H24" s="18">
        <f t="shared" si="3"/>
        <v>9.6</v>
      </c>
      <c r="I24" s="2" t="s">
        <v>45</v>
      </c>
    </row>
    <row r="25" spans="1:9" x14ac:dyDescent="0.3">
      <c r="A25" s="4" t="s">
        <v>32</v>
      </c>
    </row>
    <row r="26" spans="1:9" x14ac:dyDescent="0.3">
      <c r="A26"/>
    </row>
    <row r="27" spans="1:9" x14ac:dyDescent="0.3">
      <c r="A27" s="6" t="s">
        <v>33</v>
      </c>
      <c r="B27" s="6" t="s">
        <v>10</v>
      </c>
    </row>
    <row r="29" spans="1:9" x14ac:dyDescent="0.3">
      <c r="A29" s="5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2025-12-02T19:19:43Z</dcterms:modified>
</cp:coreProperties>
</file>